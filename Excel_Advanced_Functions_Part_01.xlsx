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tekhar\Data analytics\DATA ANALYTICS\Microsoft Office\PRACTICE FILE\ASSIGNMENT\ASSIGNMENT 1\"/>
    </mc:Choice>
  </mc:AlternateContent>
  <xr:revisionPtr revIDLastSave="0" documentId="13_ncr:1_{59136802-B2E5-4797-8FF0-A02F107FD8E4}" xr6:coauthVersionLast="47" xr6:coauthVersionMax="47" xr10:uidLastSave="{00000000-0000-0000-0000-000000000000}"/>
  <bookViews>
    <workbookView xWindow="-120" yWindow="-120" windowWidth="29040" windowHeight="15720" tabRatio="742" activeTab="2" xr2:uid="{E95655AC-1599-45D3-B540-BBA8CD8F5ACB}"/>
  </bookViews>
  <sheets>
    <sheet name="Module 2" sheetId="1" r:id="rId1"/>
    <sheet name="Assignment 1" sheetId="2" r:id="rId2"/>
    <sheet name="Assignment 2" sheetId="3" r:id="rId3"/>
    <sheet name="Assignment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V14" i="4"/>
  <c r="G32" i="3"/>
  <c r="AA14" i="3"/>
  <c r="R14" i="3"/>
  <c r="P15" i="2"/>
  <c r="G14" i="3"/>
  <c r="G15" i="2"/>
  <c r="P17" i="2"/>
  <c r="P16" i="2"/>
  <c r="G17" i="2"/>
  <c r="G16" i="2"/>
  <c r="C3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<sst xmlns="http://schemas.openxmlformats.org/spreadsheetml/2006/main" count="110" uniqueCount="51">
  <si>
    <t>Lookup and Conditional Functions | Using VLOOKUP, HLOOKUP Functions | Carefulness of VLOOKUP Function | Using SUMIF, COUNTIF | Using SUMIFS, COUNTIFS, COUNTA, INDEX and MATCH | MINIFS, MAXIFS | Using AVERAGEIFS</t>
  </si>
  <si>
    <t>Question : 1</t>
  </si>
  <si>
    <t>Target</t>
  </si>
  <si>
    <t>Sales</t>
  </si>
  <si>
    <t>Result</t>
  </si>
  <si>
    <t>Input</t>
  </si>
  <si>
    <t>Output</t>
  </si>
  <si>
    <t>?</t>
  </si>
  <si>
    <t>Sales &gt;Target</t>
  </si>
  <si>
    <t>Achieved</t>
  </si>
  <si>
    <t>Sales &lt;Target</t>
  </si>
  <si>
    <t>Not Achieved'</t>
  </si>
  <si>
    <t>Task : 1</t>
  </si>
  <si>
    <t>Pls find the result (Achieved) if Sale Is greater than the Target</t>
  </si>
  <si>
    <t>Task : 2</t>
  </si>
  <si>
    <t>Pls find the result ( Not Achieved) if Sale Is less than the Target</t>
  </si>
  <si>
    <t>Question: 2</t>
  </si>
  <si>
    <t>Commission</t>
  </si>
  <si>
    <t>Pls find the result (Commission 10%) if Sale Is greater than the Target</t>
  </si>
  <si>
    <t>Pls find the result (Commission 0%) if Sale Is less than the Target</t>
  </si>
  <si>
    <t>Question: 1</t>
  </si>
  <si>
    <t>Question: 3</t>
  </si>
  <si>
    <t>Question: 4</t>
  </si>
  <si>
    <t>SL</t>
  </si>
  <si>
    <t>Rahim</t>
  </si>
  <si>
    <t>Anis</t>
  </si>
  <si>
    <t>Karim</t>
  </si>
  <si>
    <t>Raju</t>
  </si>
  <si>
    <t>Find the Count from Question 1 by using Formula</t>
  </si>
  <si>
    <t>Find the Count from Question 2 by using Formula</t>
  </si>
  <si>
    <t>Task : 3</t>
  </si>
  <si>
    <t>Find the count blank from Question 3 by using Formula</t>
  </si>
  <si>
    <t>Task : 4</t>
  </si>
  <si>
    <t>Find the how many 10 at  Question 4 by using Formula</t>
  </si>
  <si>
    <t>Company</t>
  </si>
  <si>
    <t>ID No</t>
  </si>
  <si>
    <t>Month</t>
  </si>
  <si>
    <t>NIKE</t>
  </si>
  <si>
    <t>Name</t>
  </si>
  <si>
    <t>ADDIDAS</t>
  </si>
  <si>
    <t>Tesla</t>
  </si>
  <si>
    <t>Task 1:</t>
  </si>
  <si>
    <t>Task 2:</t>
  </si>
  <si>
    <t>ANSWER:1</t>
  </si>
  <si>
    <t>ANSWER:2</t>
  </si>
  <si>
    <t>Find the  sum of  sales of  only month of 12 by using formula from question 1</t>
  </si>
  <si>
    <t>Find the  sum of  sales  of Company "Tesla" by using formula from question 1</t>
  </si>
  <si>
    <t>Answer 1:</t>
  </si>
  <si>
    <t>Answer 2:</t>
  </si>
  <si>
    <t>(SUMIF)</t>
  </si>
  <si>
    <t>USING (INDEX-MATCH)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</si>
</sst>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101828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0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2" fontId="0" fillId="0" borderId="12" xfId="1" applyNumberFormat="1" applyFont="1" applyBorder="1"/>
    <xf numFmtId="9" fontId="0" fillId="0" borderId="13" xfId="0" applyNumberFormat="1" applyBorder="1" applyAlignment="1">
      <alignment horizontal="center"/>
    </xf>
    <xf numFmtId="2" fontId="0" fillId="0" borderId="13" xfId="1" applyNumberFormat="1" applyFont="1" applyBorder="1"/>
    <xf numFmtId="0" fontId="1" fillId="2" borderId="0" xfId="0" applyFont="1" applyFill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B081-032E-4221-924C-DDEBA8FAF22B}">
  <sheetPr>
    <tabColor rgb="FF92D050"/>
  </sheetPr>
  <dimension ref="A1"/>
  <sheetViews>
    <sheetView workbookViewId="0">
      <selection activeCell="J15" sqref="J15"/>
    </sheetView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051E-F2DA-4D0A-95F8-B9332B09A243}">
  <sheetPr>
    <tabColor rgb="FFFFFF00"/>
  </sheetPr>
  <dimension ref="B1:U17"/>
  <sheetViews>
    <sheetView workbookViewId="0">
      <selection activeCell="T18" sqref="T18"/>
    </sheetView>
  </sheetViews>
  <sheetFormatPr defaultRowHeight="15" x14ac:dyDescent="0.25"/>
  <cols>
    <col min="2" max="2" width="15.140625" customWidth="1"/>
    <col min="3" max="3" width="16.140625" customWidth="1"/>
    <col min="7" max="7" width="12.42578125" style="2" bestFit="1" customWidth="1"/>
    <col min="8" max="8" width="11.42578125" bestFit="1" customWidth="1"/>
    <col min="11" max="11" width="15.85546875" customWidth="1"/>
    <col min="12" max="12" width="13.28515625" customWidth="1"/>
  </cols>
  <sheetData>
    <row r="1" spans="2:21" ht="15.75" thickBot="1" x14ac:dyDescent="0.3">
      <c r="B1" t="s">
        <v>1</v>
      </c>
    </row>
    <row r="2" spans="2:21" ht="15.75" thickBot="1" x14ac:dyDescent="0.3">
      <c r="B2" s="3"/>
      <c r="C2" s="4"/>
      <c r="D2" s="4"/>
      <c r="E2" s="5" t="s">
        <v>2</v>
      </c>
      <c r="F2" s="11" t="s">
        <v>3</v>
      </c>
      <c r="G2" s="2" t="s">
        <v>4</v>
      </c>
      <c r="K2" t="s">
        <v>16</v>
      </c>
      <c r="P2" s="2"/>
    </row>
    <row r="3" spans="2:21" x14ac:dyDescent="0.25">
      <c r="B3" s="6" t="s">
        <v>5</v>
      </c>
      <c r="C3" t="s">
        <v>6</v>
      </c>
      <c r="E3" s="2">
        <v>120</v>
      </c>
      <c r="F3" s="12">
        <v>121</v>
      </c>
      <c r="G3" s="2" t="s">
        <v>7</v>
      </c>
      <c r="K3" s="3"/>
      <c r="L3" s="4"/>
      <c r="M3" s="4"/>
      <c r="N3" s="5" t="s">
        <v>2</v>
      </c>
      <c r="O3" s="11" t="s">
        <v>3</v>
      </c>
      <c r="P3" s="2" t="s">
        <v>4</v>
      </c>
    </row>
    <row r="4" spans="2:21" x14ac:dyDescent="0.25">
      <c r="B4" s="6" t="s">
        <v>8</v>
      </c>
      <c r="C4" t="s">
        <v>9</v>
      </c>
      <c r="E4" s="2">
        <v>120</v>
      </c>
      <c r="F4" s="12">
        <v>119</v>
      </c>
      <c r="G4" s="2" t="s">
        <v>7</v>
      </c>
      <c r="K4" s="6" t="s">
        <v>5</v>
      </c>
      <c r="L4" t="s">
        <v>17</v>
      </c>
      <c r="N4" s="2">
        <v>120</v>
      </c>
      <c r="O4" s="12">
        <v>125</v>
      </c>
      <c r="P4" s="2" t="s">
        <v>7</v>
      </c>
    </row>
    <row r="5" spans="2:21" ht="15.75" thickBot="1" x14ac:dyDescent="0.3">
      <c r="B5" s="7" t="s">
        <v>10</v>
      </c>
      <c r="C5" s="8" t="s">
        <v>11</v>
      </c>
      <c r="D5" s="8"/>
      <c r="E5" s="9">
        <v>120</v>
      </c>
      <c r="F5" s="13">
        <v>120.1</v>
      </c>
      <c r="G5" s="2" t="s">
        <v>7</v>
      </c>
      <c r="K5" s="6" t="s">
        <v>8</v>
      </c>
      <c r="L5" s="14">
        <v>0.1</v>
      </c>
      <c r="N5" s="2">
        <v>120</v>
      </c>
      <c r="O5" s="12">
        <v>119</v>
      </c>
      <c r="P5" s="2" t="s">
        <v>7</v>
      </c>
    </row>
    <row r="6" spans="2:21" ht="15.75" thickBot="1" x14ac:dyDescent="0.3">
      <c r="K6" s="7" t="s">
        <v>10</v>
      </c>
      <c r="L6" s="10">
        <v>0</v>
      </c>
      <c r="M6" s="8"/>
      <c r="N6" s="9">
        <v>120</v>
      </c>
      <c r="O6" s="13">
        <v>130</v>
      </c>
      <c r="P6" s="2" t="s">
        <v>7</v>
      </c>
    </row>
    <row r="7" spans="2:21" x14ac:dyDescent="0.25">
      <c r="B7" t="s">
        <v>12</v>
      </c>
      <c r="C7" t="s">
        <v>13</v>
      </c>
      <c r="P7" s="2"/>
    </row>
    <row r="8" spans="2:21" x14ac:dyDescent="0.25">
      <c r="B8" t="s">
        <v>14</v>
      </c>
      <c r="C8" t="s">
        <v>15</v>
      </c>
      <c r="K8" t="s">
        <v>12</v>
      </c>
      <c r="L8" t="s">
        <v>18</v>
      </c>
      <c r="P8" s="2"/>
    </row>
    <row r="9" spans="2:21" x14ac:dyDescent="0.25">
      <c r="K9" t="s">
        <v>14</v>
      </c>
      <c r="L9" t="s">
        <v>19</v>
      </c>
      <c r="P9" s="2"/>
    </row>
    <row r="13" spans="2:21" ht="15.75" thickBot="1" x14ac:dyDescent="0.3">
      <c r="B13" s="15" t="s">
        <v>43</v>
      </c>
      <c r="K13" s="15" t="s">
        <v>44</v>
      </c>
    </row>
    <row r="14" spans="2:21" ht="15.75" thickBot="1" x14ac:dyDescent="0.3">
      <c r="B14" s="24" t="s">
        <v>5</v>
      </c>
      <c r="C14" s="25" t="s">
        <v>6</v>
      </c>
      <c r="D14" s="25"/>
      <c r="E14" s="26" t="s">
        <v>2</v>
      </c>
      <c r="F14" s="26" t="s">
        <v>3</v>
      </c>
      <c r="G14" s="27" t="s">
        <v>4</v>
      </c>
      <c r="K14" s="16" t="s">
        <v>5</v>
      </c>
      <c r="L14" s="17" t="s">
        <v>17</v>
      </c>
      <c r="M14" s="17"/>
      <c r="N14" s="18" t="s">
        <v>2</v>
      </c>
      <c r="O14" s="18" t="s">
        <v>3</v>
      </c>
      <c r="P14" s="19" t="s">
        <v>4</v>
      </c>
    </row>
    <row r="15" spans="2:21" x14ac:dyDescent="0.25">
      <c r="B15" s="30" t="s">
        <v>8</v>
      </c>
      <c r="C15" s="30" t="s">
        <v>9</v>
      </c>
      <c r="D15" s="30"/>
      <c r="E15" s="31">
        <v>120</v>
      </c>
      <c r="F15" s="31">
        <v>121</v>
      </c>
      <c r="G15" s="30" t="str">
        <f>IF(F15&gt;E15,"Achieved","Not Achieved")</f>
        <v>Achieved</v>
      </c>
      <c r="K15" s="30" t="s">
        <v>8</v>
      </c>
      <c r="L15" s="34">
        <v>0.1</v>
      </c>
      <c r="M15" s="30"/>
      <c r="N15" s="31">
        <v>120</v>
      </c>
      <c r="O15" s="31">
        <v>125</v>
      </c>
      <c r="P15" s="35">
        <f>IF(O15&gt;N15,(O15-N15)*10%,0%)</f>
        <v>0.5</v>
      </c>
      <c r="U15" s="20"/>
    </row>
    <row r="16" spans="2:21" x14ac:dyDescent="0.25">
      <c r="B16" s="28" t="s">
        <v>10</v>
      </c>
      <c r="C16" s="28" t="s">
        <v>11</v>
      </c>
      <c r="D16" s="28"/>
      <c r="E16" s="29">
        <v>120</v>
      </c>
      <c r="F16" s="29">
        <v>119</v>
      </c>
      <c r="G16" s="28" t="str">
        <f>IF(F16&gt;E16,"Achieved","Not Achieved")</f>
        <v>Not Achieved</v>
      </c>
      <c r="K16" s="28" t="s">
        <v>10</v>
      </c>
      <c r="L16" s="32">
        <v>0</v>
      </c>
      <c r="M16" s="28"/>
      <c r="N16" s="29">
        <v>120</v>
      </c>
      <c r="O16" s="29">
        <v>119</v>
      </c>
      <c r="P16" s="33">
        <f>IF(O16&gt;N16,(O16-N16)*10%,0%)</f>
        <v>0</v>
      </c>
    </row>
    <row r="17" spans="2:16" x14ac:dyDescent="0.25">
      <c r="B17" s="28" t="s">
        <v>8</v>
      </c>
      <c r="C17" s="28" t="s">
        <v>9</v>
      </c>
      <c r="D17" s="28"/>
      <c r="E17" s="29">
        <v>120</v>
      </c>
      <c r="F17" s="29">
        <v>120.1</v>
      </c>
      <c r="G17" s="28" t="str">
        <f>IF(F17&gt;E17,"Achieved","Not Achieved")</f>
        <v>Achieved</v>
      </c>
      <c r="K17" s="28" t="s">
        <v>8</v>
      </c>
      <c r="L17" s="32">
        <v>0.1</v>
      </c>
      <c r="M17" s="28"/>
      <c r="N17" s="29">
        <v>120</v>
      </c>
      <c r="O17" s="29">
        <v>130</v>
      </c>
      <c r="P17" s="33">
        <f>IF(O17&gt;N17,(O17-N17)*10%,0%)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8F18-3CB7-446A-BA64-E86388C6B521}">
  <sheetPr>
    <tabColor rgb="FF00B050"/>
  </sheetPr>
  <dimension ref="A1:AA32"/>
  <sheetViews>
    <sheetView tabSelected="1" workbookViewId="0">
      <selection activeCell="R14" sqref="R14"/>
    </sheetView>
  </sheetViews>
  <sheetFormatPr defaultRowHeight="15" x14ac:dyDescent="0.25"/>
  <cols>
    <col min="2" max="2" width="10.140625" bestFit="1" customWidth="1"/>
    <col min="3" max="3" width="11.28515625" customWidth="1"/>
    <col min="4" max="4" width="8.7109375" style="2"/>
    <col min="6" max="6" width="14" customWidth="1"/>
  </cols>
  <sheetData>
    <row r="1" spans="1:27" x14ac:dyDescent="0.25">
      <c r="C1" t="s">
        <v>20</v>
      </c>
      <c r="M1" s="2" t="s">
        <v>16</v>
      </c>
      <c r="V1" s="2" t="s">
        <v>21</v>
      </c>
    </row>
    <row r="2" spans="1:27" x14ac:dyDescent="0.25">
      <c r="C2" s="2" t="s">
        <v>23</v>
      </c>
      <c r="M2" s="2">
        <v>1</v>
      </c>
      <c r="V2" s="2">
        <v>1</v>
      </c>
    </row>
    <row r="3" spans="1:27" x14ac:dyDescent="0.25">
      <c r="C3" s="2" cm="1">
        <f t="array" ref="C3:C12">_xlfn.SEQUENCE(10)</f>
        <v>1</v>
      </c>
      <c r="M3" s="2">
        <v>2</v>
      </c>
      <c r="V3" s="2">
        <v>2</v>
      </c>
    </row>
    <row r="4" spans="1:27" x14ac:dyDescent="0.25">
      <c r="C4" s="2">
        <v>2</v>
      </c>
      <c r="M4" s="2" t="s">
        <v>24</v>
      </c>
      <c r="V4" s="2"/>
    </row>
    <row r="5" spans="1:27" x14ac:dyDescent="0.25">
      <c r="C5" s="2">
        <v>3</v>
      </c>
      <c r="M5" s="2" t="s">
        <v>25</v>
      </c>
      <c r="V5" s="2" t="s">
        <v>25</v>
      </c>
    </row>
    <row r="6" spans="1:27" x14ac:dyDescent="0.25">
      <c r="C6" s="2">
        <v>4</v>
      </c>
      <c r="M6" s="2" t="s">
        <v>26</v>
      </c>
      <c r="V6" s="2" t="s">
        <v>26</v>
      </c>
    </row>
    <row r="7" spans="1:27" x14ac:dyDescent="0.25">
      <c r="C7" s="2">
        <v>5</v>
      </c>
      <c r="M7" s="2">
        <v>6</v>
      </c>
      <c r="V7" s="2">
        <v>6</v>
      </c>
    </row>
    <row r="8" spans="1:27" x14ac:dyDescent="0.25">
      <c r="C8" s="2">
        <v>6</v>
      </c>
      <c r="M8" s="2">
        <v>7</v>
      </c>
      <c r="V8" s="2"/>
    </row>
    <row r="9" spans="1:27" x14ac:dyDescent="0.25">
      <c r="C9" s="2">
        <v>7</v>
      </c>
      <c r="M9" s="2">
        <v>8</v>
      </c>
      <c r="V9" s="2">
        <v>8</v>
      </c>
    </row>
    <row r="10" spans="1:27" x14ac:dyDescent="0.25">
      <c r="C10" s="2">
        <v>8</v>
      </c>
      <c r="M10" s="2">
        <v>9</v>
      </c>
      <c r="V10" s="2"/>
    </row>
    <row r="11" spans="1:27" x14ac:dyDescent="0.25">
      <c r="C11" s="2">
        <v>9</v>
      </c>
      <c r="M11" s="2">
        <v>10</v>
      </c>
      <c r="V11" s="2">
        <v>10</v>
      </c>
    </row>
    <row r="12" spans="1:27" x14ac:dyDescent="0.25">
      <c r="C12" s="2">
        <v>10</v>
      </c>
      <c r="M12" s="2" t="s">
        <v>27</v>
      </c>
      <c r="V12" s="2" t="s">
        <v>27</v>
      </c>
    </row>
    <row r="13" spans="1:27" x14ac:dyDescent="0.25">
      <c r="B13" s="2"/>
      <c r="F13" s="2"/>
      <c r="H13" s="2"/>
    </row>
    <row r="14" spans="1:27" x14ac:dyDescent="0.25">
      <c r="A14" s="15" t="s">
        <v>12</v>
      </c>
      <c r="B14" s="15" t="s">
        <v>28</v>
      </c>
      <c r="C14" s="15"/>
      <c r="D14" s="21"/>
      <c r="E14" s="15"/>
      <c r="F14" s="15"/>
      <c r="G14" s="36">
        <f>COUNT(_xlfn.ANCHORARRAY(C3))</f>
        <v>10</v>
      </c>
      <c r="K14" s="15" t="s">
        <v>14</v>
      </c>
      <c r="L14" s="15" t="s">
        <v>29</v>
      </c>
      <c r="M14" s="15"/>
      <c r="N14" s="21"/>
      <c r="O14" s="15"/>
      <c r="P14" s="15"/>
      <c r="R14" s="36">
        <f>COUNT(M2:M12)</f>
        <v>7</v>
      </c>
      <c r="T14" s="15" t="s">
        <v>30</v>
      </c>
      <c r="U14" s="15" t="s">
        <v>31</v>
      </c>
      <c r="V14" s="15"/>
      <c r="W14" s="21"/>
      <c r="X14" s="15"/>
      <c r="Y14" s="15"/>
      <c r="Z14" s="15"/>
      <c r="AA14" s="36">
        <f>COUNTBLANK(V2:V12)</f>
        <v>3</v>
      </c>
    </row>
    <row r="15" spans="1:27" x14ac:dyDescent="0.25">
      <c r="N15" s="2"/>
    </row>
    <row r="17" spans="1:14" x14ac:dyDescent="0.25">
      <c r="C17" s="2" t="s">
        <v>22</v>
      </c>
      <c r="N17" s="2"/>
    </row>
    <row r="18" spans="1:14" x14ac:dyDescent="0.25">
      <c r="C18" s="2">
        <v>1</v>
      </c>
    </row>
    <row r="19" spans="1:14" x14ac:dyDescent="0.25">
      <c r="C19" s="2">
        <v>10</v>
      </c>
    </row>
    <row r="20" spans="1:14" x14ac:dyDescent="0.25">
      <c r="C20" s="2">
        <v>3</v>
      </c>
    </row>
    <row r="21" spans="1:14" x14ac:dyDescent="0.25">
      <c r="C21" s="2">
        <v>4</v>
      </c>
    </row>
    <row r="22" spans="1:14" x14ac:dyDescent="0.25">
      <c r="C22" s="2">
        <v>5</v>
      </c>
    </row>
    <row r="23" spans="1:14" x14ac:dyDescent="0.25">
      <c r="C23" s="2">
        <v>10</v>
      </c>
    </row>
    <row r="24" spans="1:14" x14ac:dyDescent="0.25">
      <c r="C24" s="2">
        <v>7</v>
      </c>
    </row>
    <row r="25" spans="1:14" x14ac:dyDescent="0.25">
      <c r="C25" s="2">
        <v>8</v>
      </c>
    </row>
    <row r="26" spans="1:14" x14ac:dyDescent="0.25">
      <c r="C26" s="2">
        <v>9</v>
      </c>
    </row>
    <row r="27" spans="1:14" x14ac:dyDescent="0.25">
      <c r="C27" s="2">
        <v>10</v>
      </c>
    </row>
    <row r="28" spans="1:14" x14ac:dyDescent="0.25">
      <c r="C28" s="2">
        <v>11</v>
      </c>
    </row>
    <row r="32" spans="1:14" x14ac:dyDescent="0.25">
      <c r="A32" s="15" t="s">
        <v>32</v>
      </c>
      <c r="B32" s="15" t="s">
        <v>33</v>
      </c>
      <c r="C32" s="15"/>
      <c r="D32" s="21"/>
      <c r="E32" s="15"/>
      <c r="F32" s="15"/>
      <c r="G32" s="36">
        <f>COUNTIF(C18:C28,10)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2965-7CE3-426D-A13E-4E7CF7484822}">
  <sheetPr>
    <tabColor rgb="FF0070C0"/>
  </sheetPr>
  <dimension ref="B1:AA20"/>
  <sheetViews>
    <sheetView workbookViewId="0">
      <selection activeCell="Q22" sqref="Q22"/>
    </sheetView>
  </sheetViews>
  <sheetFormatPr defaultRowHeight="15" x14ac:dyDescent="0.25"/>
  <cols>
    <col min="2" max="2" width="11.140625" customWidth="1"/>
    <col min="8" max="9" width="11.85546875" customWidth="1"/>
    <col min="10" max="10" width="9.140625" style="22"/>
    <col min="13" max="13" width="12.85546875" bestFit="1" customWidth="1"/>
    <col min="20" max="21" width="11.28515625" customWidth="1"/>
    <col min="25" max="25" width="12.85546875" bestFit="1" customWidth="1"/>
  </cols>
  <sheetData>
    <row r="1" spans="2:27" ht="15.75" thickBot="1" x14ac:dyDescent="0.3"/>
    <row r="2" spans="2:27" ht="15.75" thickBot="1" x14ac:dyDescent="0.3">
      <c r="B2" s="44" t="s">
        <v>34</v>
      </c>
      <c r="C2" s="26" t="s">
        <v>35</v>
      </c>
      <c r="D2" s="26" t="s">
        <v>36</v>
      </c>
      <c r="E2" s="27" t="s">
        <v>3</v>
      </c>
    </row>
    <row r="3" spans="2:27" x14ac:dyDescent="0.25">
      <c r="B3" s="42" t="s">
        <v>37</v>
      </c>
      <c r="C3" s="31">
        <v>1</v>
      </c>
      <c r="D3" s="31">
        <v>12</v>
      </c>
      <c r="E3" s="43">
        <v>120</v>
      </c>
    </row>
    <row r="4" spans="2:27" x14ac:dyDescent="0.25">
      <c r="B4" s="37" t="s">
        <v>39</v>
      </c>
      <c r="C4" s="29">
        <v>2</v>
      </c>
      <c r="D4" s="29">
        <v>7</v>
      </c>
      <c r="E4" s="38">
        <v>100</v>
      </c>
    </row>
    <row r="5" spans="2:27" x14ac:dyDescent="0.25">
      <c r="B5" s="37" t="s">
        <v>40</v>
      </c>
      <c r="C5" s="29">
        <v>3</v>
      </c>
      <c r="D5" s="29">
        <v>10</v>
      </c>
      <c r="E5" s="38">
        <v>80</v>
      </c>
      <c r="G5" s="2"/>
      <c r="H5" s="2"/>
      <c r="I5" s="2"/>
    </row>
    <row r="6" spans="2:27" x14ac:dyDescent="0.25">
      <c r="B6" s="37" t="s">
        <v>39</v>
      </c>
      <c r="C6" s="29">
        <v>2</v>
      </c>
      <c r="D6" s="29">
        <v>7</v>
      </c>
      <c r="E6" s="38">
        <v>100</v>
      </c>
      <c r="G6" s="2"/>
      <c r="H6" s="2"/>
      <c r="I6" s="2"/>
    </row>
    <row r="7" spans="2:27" x14ac:dyDescent="0.25">
      <c r="B7" s="37" t="s">
        <v>39</v>
      </c>
      <c r="C7" s="29">
        <v>2</v>
      </c>
      <c r="D7" s="29">
        <v>7</v>
      </c>
      <c r="E7" s="38">
        <v>100</v>
      </c>
      <c r="G7" s="2"/>
      <c r="H7" s="2"/>
      <c r="I7" s="2"/>
    </row>
    <row r="8" spans="2:27" x14ac:dyDescent="0.25">
      <c r="B8" s="37" t="s">
        <v>39</v>
      </c>
      <c r="C8" s="29">
        <v>2</v>
      </c>
      <c r="D8" s="29">
        <v>7</v>
      </c>
      <c r="E8" s="38">
        <v>100</v>
      </c>
    </row>
    <row r="9" spans="2:27" x14ac:dyDescent="0.25">
      <c r="B9" s="37" t="s">
        <v>39</v>
      </c>
      <c r="C9" s="29">
        <v>2</v>
      </c>
      <c r="D9" s="29">
        <v>7</v>
      </c>
      <c r="E9" s="38">
        <v>100</v>
      </c>
    </row>
    <row r="10" spans="2:27" x14ac:dyDescent="0.25">
      <c r="B10" s="37" t="s">
        <v>39</v>
      </c>
      <c r="C10" s="29">
        <v>2</v>
      </c>
      <c r="D10" s="29">
        <v>7</v>
      </c>
      <c r="E10" s="38">
        <v>100</v>
      </c>
      <c r="G10" s="15" t="s">
        <v>41</v>
      </c>
      <c r="H10" s="15" t="s">
        <v>45</v>
      </c>
      <c r="I10" s="15"/>
      <c r="J10" s="23"/>
      <c r="K10" s="15"/>
      <c r="L10" s="15"/>
      <c r="M10" s="15"/>
      <c r="N10" s="15"/>
      <c r="O10" s="15"/>
      <c r="P10" s="15"/>
      <c r="R10" s="15" t="s">
        <v>42</v>
      </c>
      <c r="S10" s="15" t="s">
        <v>46</v>
      </c>
      <c r="T10" s="15"/>
      <c r="U10" s="15"/>
      <c r="V10" s="15"/>
      <c r="W10" s="15"/>
      <c r="X10" s="15"/>
      <c r="Y10" s="15"/>
      <c r="Z10" s="15"/>
      <c r="AA10" s="15"/>
    </row>
    <row r="11" spans="2:27" x14ac:dyDescent="0.25">
      <c r="B11" s="37" t="s">
        <v>39</v>
      </c>
      <c r="C11" s="29">
        <v>2</v>
      </c>
      <c r="D11" s="29">
        <v>7</v>
      </c>
      <c r="E11" s="38">
        <v>100</v>
      </c>
    </row>
    <row r="12" spans="2:27" x14ac:dyDescent="0.25">
      <c r="B12" s="37" t="s">
        <v>39</v>
      </c>
      <c r="C12" s="29">
        <v>2</v>
      </c>
      <c r="D12" s="29">
        <v>7</v>
      </c>
      <c r="E12" s="38">
        <v>100</v>
      </c>
      <c r="H12" s="21" t="s">
        <v>47</v>
      </c>
      <c r="I12" s="21"/>
      <c r="J12" t="s">
        <v>49</v>
      </c>
      <c r="T12" s="15" t="s">
        <v>48</v>
      </c>
      <c r="U12" s="15"/>
      <c r="V12" t="s">
        <v>49</v>
      </c>
    </row>
    <row r="13" spans="2:27" x14ac:dyDescent="0.25">
      <c r="B13" s="37" t="s">
        <v>37</v>
      </c>
      <c r="C13" s="29">
        <v>1</v>
      </c>
      <c r="D13" s="29">
        <v>12</v>
      </c>
      <c r="E13" s="38">
        <v>120</v>
      </c>
      <c r="H13" s="2" t="s">
        <v>36</v>
      </c>
      <c r="I13" s="2"/>
      <c r="J13" s="22" t="s">
        <v>3</v>
      </c>
      <c r="K13" s="22"/>
      <c r="L13" s="22"/>
      <c r="M13" s="22"/>
      <c r="T13" s="2" t="s">
        <v>38</v>
      </c>
      <c r="U13" s="2"/>
      <c r="V13" s="2" t="s">
        <v>3</v>
      </c>
      <c r="W13" s="2"/>
      <c r="X13" s="2"/>
      <c r="Y13" s="2"/>
    </row>
    <row r="14" spans="2:27" x14ac:dyDescent="0.25">
      <c r="B14" s="37" t="s">
        <v>37</v>
      </c>
      <c r="C14" s="29">
        <v>1</v>
      </c>
      <c r="D14" s="29">
        <v>12</v>
      </c>
      <c r="E14" s="38">
        <v>120</v>
      </c>
      <c r="H14" s="2">
        <v>12</v>
      </c>
      <c r="I14" s="2"/>
      <c r="J14" s="22">
        <f>SUMIFS($E$3:$E$19,D3:$D$19,$H$14)</f>
        <v>600</v>
      </c>
      <c r="K14" s="22"/>
      <c r="L14" s="22"/>
      <c r="M14" s="22"/>
      <c r="T14" s="2" t="s">
        <v>40</v>
      </c>
      <c r="U14" s="2"/>
      <c r="V14" s="2">
        <f>SUMIF($B$3:$B$19,$T$14,$E$3:$E$19)</f>
        <v>320</v>
      </c>
      <c r="W14" s="2"/>
      <c r="X14" s="2"/>
      <c r="Y14" s="2"/>
    </row>
    <row r="15" spans="2:27" x14ac:dyDescent="0.25">
      <c r="B15" s="37" t="s">
        <v>37</v>
      </c>
      <c r="C15" s="29">
        <v>1</v>
      </c>
      <c r="D15" s="29">
        <v>12</v>
      </c>
      <c r="E15" s="38">
        <v>120</v>
      </c>
    </row>
    <row r="16" spans="2:27" x14ac:dyDescent="0.25">
      <c r="B16" s="37" t="s">
        <v>37</v>
      </c>
      <c r="C16" s="29">
        <v>1</v>
      </c>
      <c r="D16" s="29">
        <v>12</v>
      </c>
      <c r="E16" s="38">
        <v>120</v>
      </c>
    </row>
    <row r="17" spans="2:10" x14ac:dyDescent="0.25">
      <c r="B17" s="37" t="s">
        <v>40</v>
      </c>
      <c r="C17" s="29">
        <v>3</v>
      </c>
      <c r="D17" s="29">
        <v>10</v>
      </c>
      <c r="E17" s="38">
        <v>80</v>
      </c>
    </row>
    <row r="18" spans="2:10" x14ac:dyDescent="0.25">
      <c r="B18" s="37" t="s">
        <v>40</v>
      </c>
      <c r="C18" s="29">
        <v>3</v>
      </c>
      <c r="D18" s="29">
        <v>10</v>
      </c>
      <c r="E18" s="38">
        <v>80</v>
      </c>
    </row>
    <row r="19" spans="2:10" ht="15.75" thickBot="1" x14ac:dyDescent="0.3">
      <c r="B19" s="39" t="s">
        <v>40</v>
      </c>
      <c r="C19" s="40">
        <v>3</v>
      </c>
      <c r="D19" s="40">
        <v>10</v>
      </c>
      <c r="E19" s="41">
        <v>80</v>
      </c>
      <c r="I19" s="15" t="s">
        <v>50</v>
      </c>
      <c r="J19" s="23"/>
    </row>
    <row r="20" spans="2:10" x14ac:dyDescent="0.25">
      <c r="I20" t="s">
        <v>37</v>
      </c>
    </row>
  </sheetData>
  <dataValidations count="1">
    <dataValidation type="list" allowBlank="1" showInputMessage="1" showErrorMessage="1" sqref="G7 T14:U14" xr:uid="{9CBE3CEC-E9F0-4C9D-9B0E-CDEFEEC0A5EC}">
      <formula1>$C$3:$C$19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 2</vt:lpstr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Hedayet Ali</dc:creator>
  <cp:lastModifiedBy>Admin</cp:lastModifiedBy>
  <dcterms:created xsi:type="dcterms:W3CDTF">2025-09-14T09:20:10Z</dcterms:created>
  <dcterms:modified xsi:type="dcterms:W3CDTF">2026-07-01T15:50:07Z</dcterms:modified>
</cp:coreProperties>
</file>